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nny\Desktop\"/>
    </mc:Choice>
  </mc:AlternateContent>
  <xr:revisionPtr revIDLastSave="0" documentId="13_ncr:1_{7370733B-0CB9-4D81-B767-06A176043733}" xr6:coauthVersionLast="47" xr6:coauthVersionMax="47" xr10:uidLastSave="{00000000-0000-0000-0000-000000000000}"/>
  <bookViews>
    <workbookView xWindow="-120" yWindow="-120" windowWidth="29040" windowHeight="15720" xr2:uid="{598E3977-F72A-4C85-B1D0-9D8526E10E71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7" i="1" l="1"/>
  <c r="T37" i="1"/>
  <c r="U37" i="1"/>
  <c r="V37" i="1"/>
  <c r="W37" i="1"/>
  <c r="X37" i="1"/>
  <c r="Y37" i="1"/>
  <c r="Z37" i="1"/>
  <c r="R37" i="1"/>
  <c r="S34" i="1"/>
  <c r="T34" i="1"/>
  <c r="U34" i="1"/>
  <c r="V34" i="1"/>
  <c r="W34" i="1"/>
  <c r="X34" i="1"/>
  <c r="Y34" i="1"/>
  <c r="Z34" i="1"/>
  <c r="R34" i="1"/>
  <c r="Y31" i="1"/>
  <c r="Z31" i="1"/>
  <c r="S31" i="1"/>
  <c r="T31" i="1"/>
  <c r="U31" i="1"/>
  <c r="V31" i="1"/>
  <c r="W31" i="1"/>
  <c r="X31" i="1"/>
  <c r="R31" i="1"/>
</calcChain>
</file>

<file path=xl/sharedStrings.xml><?xml version="1.0" encoding="utf-8"?>
<sst xmlns="http://schemas.openxmlformats.org/spreadsheetml/2006/main" count="211" uniqueCount="27">
  <si>
    <t>1+16b</t>
    <phoneticPr fontId="1" type="noConversion"/>
  </si>
  <si>
    <t>1+32b</t>
    <phoneticPr fontId="1" type="noConversion"/>
  </si>
  <si>
    <t>1+64b</t>
    <phoneticPr fontId="1" type="noConversion"/>
  </si>
  <si>
    <t>2+16b</t>
    <phoneticPr fontId="1" type="noConversion"/>
  </si>
  <si>
    <t>2+32b</t>
    <phoneticPr fontId="1" type="noConversion"/>
  </si>
  <si>
    <t>2+64b</t>
    <phoneticPr fontId="1" type="noConversion"/>
  </si>
  <si>
    <t>4+16b</t>
    <phoneticPr fontId="1" type="noConversion"/>
  </si>
  <si>
    <t>4+32b</t>
    <phoneticPr fontId="1" type="noConversion"/>
  </si>
  <si>
    <t>4+64b</t>
    <phoneticPr fontId="1" type="noConversion"/>
  </si>
  <si>
    <t>16kb</t>
    <phoneticPr fontId="1" type="noConversion"/>
  </si>
  <si>
    <t>32kb</t>
    <phoneticPr fontId="1" type="noConversion"/>
  </si>
  <si>
    <t>64kb</t>
    <phoneticPr fontId="1" type="noConversion"/>
  </si>
  <si>
    <t>cache size</t>
    <phoneticPr fontId="1" type="noConversion"/>
  </si>
  <si>
    <t>block size</t>
    <phoneticPr fontId="1" type="noConversion"/>
  </si>
  <si>
    <t>16kb</t>
  </si>
  <si>
    <t>miss rate</t>
    <phoneticPr fontId="1" type="noConversion"/>
  </si>
  <si>
    <t>16b+1way</t>
    <phoneticPr fontId="1" type="noConversion"/>
  </si>
  <si>
    <t>32b+1way</t>
    <phoneticPr fontId="1" type="noConversion"/>
  </si>
  <si>
    <t>64b+1way</t>
    <phoneticPr fontId="1" type="noConversion"/>
  </si>
  <si>
    <t>16b+2way</t>
    <phoneticPr fontId="1" type="noConversion"/>
  </si>
  <si>
    <t>32b+2way</t>
    <phoneticPr fontId="1" type="noConversion"/>
  </si>
  <si>
    <t>64b+2way</t>
    <phoneticPr fontId="1" type="noConversion"/>
  </si>
  <si>
    <t>16b+4way</t>
    <phoneticPr fontId="1" type="noConversion"/>
  </si>
  <si>
    <t>32b+4way</t>
    <phoneticPr fontId="1" type="noConversion"/>
  </si>
  <si>
    <t>64b+4way</t>
    <phoneticPr fontId="1" type="noConversion"/>
  </si>
  <si>
    <t xml:space="preserve">normalized CPU cycles </t>
    <phoneticPr fontId="1" type="noConversion"/>
  </si>
  <si>
    <t>base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</si>
</sst>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L1 Miss Rate</a:t>
            </a:r>
            <a:endParaRPr lang="zh-TW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工作表1!$I$1</c:f>
              <c:strCache>
                <c:ptCount val="1"/>
                <c:pt idx="0">
                  <c:v>16kb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工作表1!$I$2:$Q$2</c:f>
              <c:strCache>
                <c:ptCount val="9"/>
                <c:pt idx="0">
                  <c:v>16b+1way</c:v>
                </c:pt>
                <c:pt idx="1">
                  <c:v>32b+1way</c:v>
                </c:pt>
                <c:pt idx="2">
                  <c:v>64b+1way</c:v>
                </c:pt>
                <c:pt idx="3">
                  <c:v>16b+2way</c:v>
                </c:pt>
                <c:pt idx="4">
                  <c:v>32b+2way</c:v>
                </c:pt>
                <c:pt idx="5">
                  <c:v>64b+2way</c:v>
                </c:pt>
                <c:pt idx="6">
                  <c:v>16b+4way</c:v>
                </c:pt>
                <c:pt idx="7">
                  <c:v>32b+4way</c:v>
                </c:pt>
                <c:pt idx="8">
                  <c:v>64b+4way</c:v>
                </c:pt>
              </c:strCache>
            </c:strRef>
          </c:xVal>
          <c:yVal>
            <c:numRef>
              <c:f>工作表1!$I$3:$Q$3</c:f>
              <c:numCache>
                <c:formatCode>General</c:formatCode>
                <c:ptCount val="9"/>
                <c:pt idx="0">
                  <c:v>3.1208E-2</c:v>
                </c:pt>
                <c:pt idx="1">
                  <c:v>2.3016999999999999E-2</c:v>
                </c:pt>
                <c:pt idx="2">
                  <c:v>1.9536999999999999E-2</c:v>
                </c:pt>
                <c:pt idx="3">
                  <c:v>2.1613E-2</c:v>
                </c:pt>
                <c:pt idx="4">
                  <c:v>1.3786E-2</c:v>
                </c:pt>
                <c:pt idx="5">
                  <c:v>9.9679999999999994E-3</c:v>
                </c:pt>
                <c:pt idx="6">
                  <c:v>1.8439000000000001E-2</c:v>
                </c:pt>
                <c:pt idx="7">
                  <c:v>1.103E-2</c:v>
                </c:pt>
                <c:pt idx="8">
                  <c:v>7.2919999999999999E-3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C6-4F5B-973B-89B4C8EE954E}"/>
            </c:ext>
          </c:extLst>
        </c:ser>
        <c:ser>
          <c:idx val="1"/>
          <c:order val="1"/>
          <c:tx>
            <c:strRef>
              <c:f>工作表1!$I$4</c:f>
              <c:strCache>
                <c:ptCount val="1"/>
                <c:pt idx="0">
                  <c:v>32kb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工作表1!$I$5:$Q$5</c:f>
              <c:strCache>
                <c:ptCount val="9"/>
                <c:pt idx="0">
                  <c:v>16b+1way</c:v>
                </c:pt>
                <c:pt idx="1">
                  <c:v>32b+1way</c:v>
                </c:pt>
                <c:pt idx="2">
                  <c:v>64b+1way</c:v>
                </c:pt>
                <c:pt idx="3">
                  <c:v>16b+2way</c:v>
                </c:pt>
                <c:pt idx="4">
                  <c:v>32b+2way</c:v>
                </c:pt>
                <c:pt idx="5">
                  <c:v>64b+2way</c:v>
                </c:pt>
                <c:pt idx="6">
                  <c:v>16b+4way</c:v>
                </c:pt>
                <c:pt idx="7">
                  <c:v>32b+4way</c:v>
                </c:pt>
                <c:pt idx="8">
                  <c:v>64b+4way</c:v>
                </c:pt>
              </c:strCache>
            </c:strRef>
          </c:xVal>
          <c:yVal>
            <c:numRef>
              <c:f>工作表1!$I$6:$Q$6</c:f>
              <c:numCache>
                <c:formatCode>General</c:formatCode>
                <c:ptCount val="9"/>
                <c:pt idx="0">
                  <c:v>1.6972999999999999E-2</c:v>
                </c:pt>
                <c:pt idx="1">
                  <c:v>1.1696E-2</c:v>
                </c:pt>
                <c:pt idx="2">
                  <c:v>9.0729999999999995E-3</c:v>
                </c:pt>
                <c:pt idx="3">
                  <c:v>8.0459999999999993E-3</c:v>
                </c:pt>
                <c:pt idx="4">
                  <c:v>4.8739999999999999E-3</c:v>
                </c:pt>
                <c:pt idx="5">
                  <c:v>3.2130000000000001E-3</c:v>
                </c:pt>
                <c:pt idx="6">
                  <c:v>6.5490000000000001E-3</c:v>
                </c:pt>
                <c:pt idx="7">
                  <c:v>4.0049999999999999E-3</c:v>
                </c:pt>
                <c:pt idx="8">
                  <c:v>2.496E-3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C6-4F5B-973B-89B4C8EE954E}"/>
            </c:ext>
          </c:extLst>
        </c:ser>
        <c:ser>
          <c:idx val="2"/>
          <c:order val="2"/>
          <c:tx>
            <c:strRef>
              <c:f>工作表1!$I$7</c:f>
              <c:strCache>
                <c:ptCount val="1"/>
                <c:pt idx="0">
                  <c:v>64kb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工作表1!$I$8:$Q$8</c:f>
              <c:strCache>
                <c:ptCount val="9"/>
                <c:pt idx="0">
                  <c:v>16b+1way</c:v>
                </c:pt>
                <c:pt idx="1">
                  <c:v>32b+1way</c:v>
                </c:pt>
                <c:pt idx="2">
                  <c:v>64b+1way</c:v>
                </c:pt>
                <c:pt idx="3">
                  <c:v>16b+2way</c:v>
                </c:pt>
                <c:pt idx="4">
                  <c:v>32b+2way</c:v>
                </c:pt>
                <c:pt idx="5">
                  <c:v>64b+2way</c:v>
                </c:pt>
                <c:pt idx="6">
                  <c:v>16b+4way</c:v>
                </c:pt>
                <c:pt idx="7">
                  <c:v>32b+4way</c:v>
                </c:pt>
                <c:pt idx="8">
                  <c:v>64b+4way</c:v>
                </c:pt>
              </c:strCache>
            </c:strRef>
          </c:xVal>
          <c:yVal>
            <c:numRef>
              <c:f>工作表1!$I$9:$Q$9</c:f>
              <c:numCache>
                <c:formatCode>General</c:formatCode>
                <c:ptCount val="9"/>
                <c:pt idx="0">
                  <c:v>9.9489999999999995E-3</c:v>
                </c:pt>
                <c:pt idx="1">
                  <c:v>5.633E-3</c:v>
                </c:pt>
                <c:pt idx="2">
                  <c:v>3.418E-3</c:v>
                </c:pt>
                <c:pt idx="3">
                  <c:v>4.731E-3</c:v>
                </c:pt>
                <c:pt idx="4">
                  <c:v>2.6540000000000001E-3</c:v>
                </c:pt>
                <c:pt idx="5">
                  <c:v>1.5690000000000001E-3</c:v>
                </c:pt>
                <c:pt idx="6">
                  <c:v>4.4140000000000004E-3</c:v>
                </c:pt>
                <c:pt idx="7">
                  <c:v>2.4499999999999999E-3</c:v>
                </c:pt>
                <c:pt idx="8">
                  <c:v>1.41E-3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FC6-4F5B-973B-89B4C8EE95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5921328"/>
        <c:axId val="1515921744"/>
      </c:scatterChart>
      <c:valAx>
        <c:axId val="1515921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16b+1way to 64b+4way </a:t>
                </a:r>
                <a:endParaRPr lang="zh-TW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15921744"/>
        <c:crosses val="autoZero"/>
        <c:crossBetween val="midCat"/>
      </c:valAx>
      <c:valAx>
        <c:axId val="151592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miss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159213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400" b="0" i="0" u="none" strike="noStrike" baseline="0">
                <a:effectLst/>
              </a:rPr>
              <a:t>normalized CPU cycles </a:t>
            </a:r>
            <a:r>
              <a:rPr lang="en-US" altLang="zh-TW" sz="1400" b="0" i="0" u="none" strike="noStrike" baseline="0"/>
              <a:t> 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工作表1!$R$29</c:f>
              <c:strCache>
                <c:ptCount val="1"/>
                <c:pt idx="0">
                  <c:v>16kb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工作表1!$R$30:$Z$30</c:f>
              <c:strCache>
                <c:ptCount val="9"/>
                <c:pt idx="0">
                  <c:v>16b+1way</c:v>
                </c:pt>
                <c:pt idx="1">
                  <c:v>32b+1way</c:v>
                </c:pt>
                <c:pt idx="2">
                  <c:v>64b+1way</c:v>
                </c:pt>
                <c:pt idx="3">
                  <c:v>16b+2way</c:v>
                </c:pt>
                <c:pt idx="4">
                  <c:v>32b+2way</c:v>
                </c:pt>
                <c:pt idx="5">
                  <c:v>64b+2way</c:v>
                </c:pt>
                <c:pt idx="6">
                  <c:v>16b+4way</c:v>
                </c:pt>
                <c:pt idx="7">
                  <c:v>32b+4way</c:v>
                </c:pt>
                <c:pt idx="8">
                  <c:v>64b+4way</c:v>
                </c:pt>
              </c:strCache>
            </c:strRef>
          </c:xVal>
          <c:yVal>
            <c:numRef>
              <c:f>工作表1!$R$31:$Z$31</c:f>
              <c:numCache>
                <c:formatCode>General</c:formatCode>
                <c:ptCount val="9"/>
                <c:pt idx="0">
                  <c:v>1</c:v>
                </c:pt>
                <c:pt idx="1">
                  <c:v>0.91255500864049344</c:v>
                </c:pt>
                <c:pt idx="2">
                  <c:v>0.8698573376973705</c:v>
                </c:pt>
                <c:pt idx="3">
                  <c:v>0.91849767347430289</c:v>
                </c:pt>
                <c:pt idx="4">
                  <c:v>0.83699140618943213</c:v>
                </c:pt>
                <c:pt idx="5">
                  <c:v>0.79383744080430285</c:v>
                </c:pt>
                <c:pt idx="6">
                  <c:v>0.89407254498092403</c:v>
                </c:pt>
                <c:pt idx="7">
                  <c:v>0.81565022488472716</c:v>
                </c:pt>
                <c:pt idx="8">
                  <c:v>0.7747909180960949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F7-4548-974E-B8BBC5D95CF9}"/>
            </c:ext>
          </c:extLst>
        </c:ser>
        <c:ser>
          <c:idx val="1"/>
          <c:order val="1"/>
          <c:tx>
            <c:strRef>
              <c:f>工作表1!$R$32</c:f>
              <c:strCache>
                <c:ptCount val="1"/>
                <c:pt idx="0">
                  <c:v>32kb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工作表1!$R$33:$Z$33</c:f>
              <c:strCache>
                <c:ptCount val="9"/>
                <c:pt idx="0">
                  <c:v>16b+1way</c:v>
                </c:pt>
                <c:pt idx="1">
                  <c:v>32b+1way</c:v>
                </c:pt>
                <c:pt idx="2">
                  <c:v>64b+1way</c:v>
                </c:pt>
                <c:pt idx="3">
                  <c:v>16b+2way</c:v>
                </c:pt>
                <c:pt idx="4">
                  <c:v>32b+2way</c:v>
                </c:pt>
                <c:pt idx="5">
                  <c:v>64b+2way</c:v>
                </c:pt>
                <c:pt idx="6">
                  <c:v>16b+4way</c:v>
                </c:pt>
                <c:pt idx="7">
                  <c:v>32b+4way</c:v>
                </c:pt>
                <c:pt idx="8">
                  <c:v>64b+4way</c:v>
                </c:pt>
              </c:strCache>
            </c:strRef>
          </c:xVal>
          <c:yVal>
            <c:numRef>
              <c:f>工作表1!$R$34:$Z$34</c:f>
              <c:numCache>
                <c:formatCode>General</c:formatCode>
                <c:ptCount val="9"/>
                <c:pt idx="0">
                  <c:v>0.87362879579417929</c:v>
                </c:pt>
                <c:pt idx="1">
                  <c:v>0.81265267126255181</c:v>
                </c:pt>
                <c:pt idx="2">
                  <c:v>0.77913810595140276</c:v>
                </c:pt>
                <c:pt idx="3">
                  <c:v>0.79738723119759591</c:v>
                </c:pt>
                <c:pt idx="4">
                  <c:v>0.75829580960131115</c:v>
                </c:pt>
                <c:pt idx="5">
                  <c:v>0.73750785025751719</c:v>
                </c:pt>
                <c:pt idx="6">
                  <c:v>0.78402237381177586</c:v>
                </c:pt>
                <c:pt idx="7">
                  <c:v>0.75055365771793514</c:v>
                </c:pt>
                <c:pt idx="8">
                  <c:v>0.73129350039221919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AF7-4548-974E-B8BBC5D95CF9}"/>
            </c:ext>
          </c:extLst>
        </c:ser>
        <c:ser>
          <c:idx val="2"/>
          <c:order val="2"/>
          <c:tx>
            <c:strRef>
              <c:f>工作表1!$R$35</c:f>
              <c:strCache>
                <c:ptCount val="1"/>
                <c:pt idx="0">
                  <c:v>64kb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工作表1!$R$36:$Z$36</c:f>
              <c:strCache>
                <c:ptCount val="9"/>
                <c:pt idx="0">
                  <c:v>16b+1way</c:v>
                </c:pt>
                <c:pt idx="1">
                  <c:v>32b+1way</c:v>
                </c:pt>
                <c:pt idx="2">
                  <c:v>64b+1way</c:v>
                </c:pt>
                <c:pt idx="3">
                  <c:v>16b+2way</c:v>
                </c:pt>
                <c:pt idx="4">
                  <c:v>32b+2way</c:v>
                </c:pt>
                <c:pt idx="5">
                  <c:v>64b+2way</c:v>
                </c:pt>
                <c:pt idx="6">
                  <c:v>16b+4way</c:v>
                </c:pt>
                <c:pt idx="7">
                  <c:v>32b+4way</c:v>
                </c:pt>
                <c:pt idx="8">
                  <c:v>64b+4way</c:v>
                </c:pt>
              </c:strCache>
            </c:strRef>
          </c:xVal>
          <c:yVal>
            <c:numRef>
              <c:f>工作表1!$R$37:$Z$37</c:f>
              <c:numCache>
                <c:formatCode>General</c:formatCode>
                <c:ptCount val="9"/>
                <c:pt idx="0">
                  <c:v>0.81405550574452801</c:v>
                </c:pt>
                <c:pt idx="1">
                  <c:v>0.76559871840448968</c:v>
                </c:pt>
                <c:pt idx="2">
                  <c:v>0.73965389676287097</c:v>
                </c:pt>
                <c:pt idx="3">
                  <c:v>0.76617399346000703</c:v>
                </c:pt>
                <c:pt idx="4">
                  <c:v>0.7374705646130284</c:v>
                </c:pt>
                <c:pt idx="5">
                  <c:v>0.72233630635825574</c:v>
                </c:pt>
                <c:pt idx="6">
                  <c:v>0.76353338167836482</c:v>
                </c:pt>
                <c:pt idx="7">
                  <c:v>0.73536915478369891</c:v>
                </c:pt>
                <c:pt idx="8">
                  <c:v>0.72077227966931268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AF7-4548-974E-B8BBC5D95C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0636048"/>
        <c:axId val="1640635632"/>
      </c:scatterChart>
      <c:valAx>
        <c:axId val="1640636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800" b="0" i="0" baseline="0">
                    <a:effectLst/>
                  </a:rPr>
                  <a:t>16b+1way to 64b+4way </a:t>
                </a:r>
                <a:endParaRPr lang="zh-TW" altLang="zh-TW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40635632"/>
        <c:crosses val="autoZero"/>
        <c:crossBetween val="midCat"/>
      </c:valAx>
      <c:valAx>
        <c:axId val="1640635632"/>
        <c:scaling>
          <c:orientation val="minMax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normalized CPU cycles 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406360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38</xdr:row>
      <xdr:rowOff>0</xdr:rowOff>
    </xdr:from>
    <xdr:to>
      <xdr:col>17</xdr:col>
      <xdr:colOff>485775</xdr:colOff>
      <xdr:row>55</xdr:row>
      <xdr:rowOff>200026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C31DC82E-8608-4768-AA73-3030AD33CE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19050</xdr:colOff>
      <xdr:row>56</xdr:row>
      <xdr:rowOff>0</xdr:rowOff>
    </xdr:from>
    <xdr:to>
      <xdr:col>17</xdr:col>
      <xdr:colOff>485775</xdr:colOff>
      <xdr:row>79</xdr:row>
      <xdr:rowOff>200026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0A563C9F-FBAB-4327-A922-A49C10FE1F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6B32C-9E64-43CB-941B-9FE0DE79E4F2}">
  <dimension ref="A1:Z38"/>
  <sheetViews>
    <sheetView tabSelected="1" topLeftCell="H40" workbookViewId="0">
      <selection activeCell="V58" sqref="V58"/>
    </sheetView>
  </sheetViews>
  <sheetFormatPr defaultRowHeight="16.5" x14ac:dyDescent="0.25"/>
  <cols>
    <col min="8" max="8" width="19" customWidth="1"/>
    <col min="9" max="17" width="12.75" bestFit="1" customWidth="1"/>
  </cols>
  <sheetData>
    <row r="1" spans="1:17" x14ac:dyDescent="0.25">
      <c r="D1" t="s">
        <v>9</v>
      </c>
      <c r="E1" t="s">
        <v>10</v>
      </c>
      <c r="F1" t="s">
        <v>11</v>
      </c>
      <c r="H1" t="s">
        <v>12</v>
      </c>
      <c r="I1" t="s">
        <v>9</v>
      </c>
      <c r="J1" t="s">
        <v>9</v>
      </c>
      <c r="K1" t="s">
        <v>9</v>
      </c>
      <c r="L1" t="s">
        <v>14</v>
      </c>
      <c r="M1" t="s">
        <v>14</v>
      </c>
      <c r="N1" t="s">
        <v>14</v>
      </c>
      <c r="O1" t="s">
        <v>14</v>
      </c>
      <c r="P1" t="s">
        <v>14</v>
      </c>
      <c r="Q1" t="s">
        <v>14</v>
      </c>
    </row>
    <row r="2" spans="1:17" x14ac:dyDescent="0.25">
      <c r="A2" t="s">
        <v>0</v>
      </c>
      <c r="C2">
        <v>0</v>
      </c>
      <c r="D2">
        <v>3.1208E-2</v>
      </c>
      <c r="E2">
        <v>1.6972999999999999E-2</v>
      </c>
      <c r="F2">
        <v>9.9489999999999995E-3</v>
      </c>
      <c r="H2" t="s">
        <v>13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  <c r="N2" t="s">
        <v>21</v>
      </c>
      <c r="O2" t="s">
        <v>22</v>
      </c>
      <c r="P2" t="s">
        <v>23</v>
      </c>
      <c r="Q2" t="s">
        <v>24</v>
      </c>
    </row>
    <row r="3" spans="1:17" x14ac:dyDescent="0.25">
      <c r="A3" t="s">
        <v>1</v>
      </c>
      <c r="C3">
        <v>1</v>
      </c>
      <c r="D3">
        <v>2.3016999999999999E-2</v>
      </c>
      <c r="E3">
        <v>1.1696E-2</v>
      </c>
      <c r="F3">
        <v>5.633E-3</v>
      </c>
      <c r="H3" t="s">
        <v>15</v>
      </c>
      <c r="I3">
        <v>3.1208E-2</v>
      </c>
      <c r="J3">
        <v>2.3016999999999999E-2</v>
      </c>
      <c r="K3">
        <v>1.9536999999999999E-2</v>
      </c>
      <c r="L3">
        <v>2.1613E-2</v>
      </c>
      <c r="M3">
        <v>1.3786E-2</v>
      </c>
      <c r="N3">
        <v>9.9679999999999994E-3</v>
      </c>
      <c r="O3">
        <v>1.8439000000000001E-2</v>
      </c>
      <c r="P3">
        <v>1.103E-2</v>
      </c>
      <c r="Q3">
        <v>7.2919999999999999E-3</v>
      </c>
    </row>
    <row r="4" spans="1:17" x14ac:dyDescent="0.25">
      <c r="A4" t="s">
        <v>2</v>
      </c>
      <c r="C4">
        <v>2</v>
      </c>
      <c r="D4">
        <v>1.9536999999999999E-2</v>
      </c>
      <c r="E4">
        <v>9.0729999999999995E-3</v>
      </c>
      <c r="F4">
        <v>3.418E-3</v>
      </c>
      <c r="H4" t="s">
        <v>12</v>
      </c>
      <c r="I4" t="s">
        <v>10</v>
      </c>
      <c r="J4" t="s">
        <v>10</v>
      </c>
      <c r="K4" t="s">
        <v>10</v>
      </c>
      <c r="L4" t="s">
        <v>10</v>
      </c>
      <c r="M4" t="s">
        <v>10</v>
      </c>
      <c r="N4" t="s">
        <v>10</v>
      </c>
      <c r="O4" t="s">
        <v>10</v>
      </c>
      <c r="P4" t="s">
        <v>10</v>
      </c>
      <c r="Q4" t="s">
        <v>10</v>
      </c>
    </row>
    <row r="5" spans="1:17" x14ac:dyDescent="0.25">
      <c r="A5" t="s">
        <v>3</v>
      </c>
      <c r="C5">
        <v>3</v>
      </c>
      <c r="D5">
        <v>2.1613E-2</v>
      </c>
      <c r="E5">
        <v>8.0459999999999993E-3</v>
      </c>
      <c r="F5">
        <v>4.731E-3</v>
      </c>
      <c r="H5" t="s">
        <v>13</v>
      </c>
      <c r="I5" t="s">
        <v>16</v>
      </c>
      <c r="J5" t="s">
        <v>17</v>
      </c>
      <c r="K5" t="s">
        <v>18</v>
      </c>
      <c r="L5" t="s">
        <v>19</v>
      </c>
      <c r="M5" t="s">
        <v>20</v>
      </c>
      <c r="N5" t="s">
        <v>21</v>
      </c>
      <c r="O5" t="s">
        <v>22</v>
      </c>
      <c r="P5" t="s">
        <v>23</v>
      </c>
      <c r="Q5" t="s">
        <v>24</v>
      </c>
    </row>
    <row r="6" spans="1:17" x14ac:dyDescent="0.25">
      <c r="A6" t="s">
        <v>4</v>
      </c>
      <c r="C6">
        <v>4</v>
      </c>
      <c r="D6">
        <v>1.3786E-2</v>
      </c>
      <c r="E6">
        <v>4.8739999999999999E-3</v>
      </c>
      <c r="F6">
        <v>2.6540000000000001E-3</v>
      </c>
      <c r="H6" t="s">
        <v>15</v>
      </c>
      <c r="I6">
        <v>1.6972999999999999E-2</v>
      </c>
      <c r="J6">
        <v>1.1696E-2</v>
      </c>
      <c r="K6">
        <v>9.0729999999999995E-3</v>
      </c>
      <c r="L6">
        <v>8.0459999999999993E-3</v>
      </c>
      <c r="M6">
        <v>4.8739999999999999E-3</v>
      </c>
      <c r="N6">
        <v>3.2130000000000001E-3</v>
      </c>
      <c r="O6">
        <v>6.5490000000000001E-3</v>
      </c>
      <c r="P6">
        <v>4.0049999999999999E-3</v>
      </c>
      <c r="Q6">
        <v>2.496E-3</v>
      </c>
    </row>
    <row r="7" spans="1:17" x14ac:dyDescent="0.25">
      <c r="A7" t="s">
        <v>5</v>
      </c>
      <c r="C7">
        <v>5</v>
      </c>
      <c r="D7">
        <v>9.9679999999999994E-3</v>
      </c>
      <c r="E7">
        <v>3.2130000000000001E-3</v>
      </c>
      <c r="F7">
        <v>1.5690000000000001E-3</v>
      </c>
      <c r="H7" t="s">
        <v>12</v>
      </c>
      <c r="I7" t="s">
        <v>11</v>
      </c>
      <c r="J7" t="s">
        <v>11</v>
      </c>
      <c r="K7" t="s">
        <v>11</v>
      </c>
      <c r="L7" t="s">
        <v>11</v>
      </c>
      <c r="M7" t="s">
        <v>11</v>
      </c>
      <c r="N7" t="s">
        <v>11</v>
      </c>
      <c r="O7" t="s">
        <v>11</v>
      </c>
      <c r="P7" t="s">
        <v>11</v>
      </c>
      <c r="Q7" t="s">
        <v>11</v>
      </c>
    </row>
    <row r="8" spans="1:17" x14ac:dyDescent="0.25">
      <c r="A8" t="s">
        <v>6</v>
      </c>
      <c r="C8">
        <v>6</v>
      </c>
      <c r="D8">
        <v>1.8439000000000001E-2</v>
      </c>
      <c r="E8">
        <v>6.5490000000000001E-3</v>
      </c>
      <c r="F8">
        <v>4.4140000000000004E-3</v>
      </c>
      <c r="H8" t="s">
        <v>13</v>
      </c>
      <c r="I8" t="s">
        <v>16</v>
      </c>
      <c r="J8" t="s">
        <v>17</v>
      </c>
      <c r="K8" t="s">
        <v>18</v>
      </c>
      <c r="L8" t="s">
        <v>19</v>
      </c>
      <c r="M8" t="s">
        <v>20</v>
      </c>
      <c r="N8" t="s">
        <v>21</v>
      </c>
      <c r="O8" t="s">
        <v>22</v>
      </c>
      <c r="P8" t="s">
        <v>23</v>
      </c>
      <c r="Q8" t="s">
        <v>24</v>
      </c>
    </row>
    <row r="9" spans="1:17" x14ac:dyDescent="0.25">
      <c r="A9" t="s">
        <v>7</v>
      </c>
      <c r="C9">
        <v>7</v>
      </c>
      <c r="D9">
        <v>1.103E-2</v>
      </c>
      <c r="E9">
        <v>4.0049999999999999E-3</v>
      </c>
      <c r="F9">
        <v>2.4499999999999999E-3</v>
      </c>
      <c r="H9" t="s">
        <v>15</v>
      </c>
      <c r="I9">
        <v>9.9489999999999995E-3</v>
      </c>
      <c r="J9">
        <v>5.633E-3</v>
      </c>
      <c r="K9">
        <v>3.418E-3</v>
      </c>
      <c r="L9">
        <v>4.731E-3</v>
      </c>
      <c r="M9">
        <v>2.6540000000000001E-3</v>
      </c>
      <c r="N9">
        <v>1.5690000000000001E-3</v>
      </c>
      <c r="O9">
        <v>4.4140000000000004E-3</v>
      </c>
      <c r="P9">
        <v>2.4499999999999999E-3</v>
      </c>
      <c r="Q9">
        <v>1.41E-3</v>
      </c>
    </row>
    <row r="10" spans="1:17" x14ac:dyDescent="0.25">
      <c r="A10" t="s">
        <v>8</v>
      </c>
      <c r="C10">
        <v>8</v>
      </c>
      <c r="D10">
        <v>7.2919999999999999E-3</v>
      </c>
      <c r="E10">
        <v>2.496E-3</v>
      </c>
      <c r="F10">
        <v>1.41E-3</v>
      </c>
    </row>
    <row r="12" spans="1:17" x14ac:dyDescent="0.25">
      <c r="A12" t="s">
        <v>0</v>
      </c>
    </row>
    <row r="13" spans="1:17" x14ac:dyDescent="0.25">
      <c r="A13" t="s">
        <v>1</v>
      </c>
    </row>
    <row r="14" spans="1:17" x14ac:dyDescent="0.25">
      <c r="A14" t="s">
        <v>2</v>
      </c>
    </row>
    <row r="15" spans="1:17" x14ac:dyDescent="0.25">
      <c r="A15" t="s">
        <v>3</v>
      </c>
    </row>
    <row r="16" spans="1:17" x14ac:dyDescent="0.25">
      <c r="A16" t="s">
        <v>4</v>
      </c>
    </row>
    <row r="17" spans="1:26" x14ac:dyDescent="0.25">
      <c r="A17" t="s">
        <v>5</v>
      </c>
    </row>
    <row r="18" spans="1:26" x14ac:dyDescent="0.25">
      <c r="A18" t="s">
        <v>6</v>
      </c>
    </row>
    <row r="19" spans="1:26" x14ac:dyDescent="0.25">
      <c r="A19" t="s">
        <v>7</v>
      </c>
    </row>
    <row r="20" spans="1:26" x14ac:dyDescent="0.25">
      <c r="A20" t="s">
        <v>8</v>
      </c>
    </row>
    <row r="22" spans="1:26" x14ac:dyDescent="0.25">
      <c r="A22" t="s">
        <v>0</v>
      </c>
      <c r="C22">
        <v>0</v>
      </c>
    </row>
    <row r="23" spans="1:26" x14ac:dyDescent="0.25">
      <c r="A23" t="s">
        <v>1</v>
      </c>
      <c r="C23">
        <v>1</v>
      </c>
    </row>
    <row r="24" spans="1:26" x14ac:dyDescent="0.25">
      <c r="A24" t="s">
        <v>2</v>
      </c>
      <c r="C24">
        <v>2</v>
      </c>
    </row>
    <row r="25" spans="1:26" x14ac:dyDescent="0.25">
      <c r="A25" t="s">
        <v>3</v>
      </c>
      <c r="C25">
        <v>3</v>
      </c>
    </row>
    <row r="26" spans="1:26" x14ac:dyDescent="0.25">
      <c r="A26" t="s">
        <v>4</v>
      </c>
      <c r="C26">
        <v>4</v>
      </c>
    </row>
    <row r="27" spans="1:26" x14ac:dyDescent="0.25">
      <c r="A27" t="s">
        <v>5</v>
      </c>
      <c r="C27">
        <v>5</v>
      </c>
    </row>
    <row r="28" spans="1:26" x14ac:dyDescent="0.25">
      <c r="A28" t="s">
        <v>6</v>
      </c>
      <c r="C28">
        <v>6</v>
      </c>
    </row>
    <row r="29" spans="1:26" x14ac:dyDescent="0.25">
      <c r="A29" t="s">
        <v>7</v>
      </c>
      <c r="C29">
        <v>7</v>
      </c>
      <c r="H29" t="s">
        <v>12</v>
      </c>
      <c r="I29" t="s">
        <v>9</v>
      </c>
      <c r="J29" t="s">
        <v>9</v>
      </c>
      <c r="K29" t="s">
        <v>9</v>
      </c>
      <c r="L29" t="s">
        <v>14</v>
      </c>
      <c r="M29" t="s">
        <v>14</v>
      </c>
      <c r="N29" t="s">
        <v>14</v>
      </c>
      <c r="O29" t="s">
        <v>14</v>
      </c>
      <c r="P29" t="s">
        <v>14</v>
      </c>
      <c r="Q29" t="s">
        <v>14</v>
      </c>
      <c r="R29" t="s">
        <v>9</v>
      </c>
      <c r="S29" t="s">
        <v>9</v>
      </c>
      <c r="T29" t="s">
        <v>9</v>
      </c>
      <c r="U29" t="s">
        <v>14</v>
      </c>
      <c r="V29" t="s">
        <v>14</v>
      </c>
      <c r="W29" t="s">
        <v>14</v>
      </c>
      <c r="X29" t="s">
        <v>14</v>
      </c>
      <c r="Y29" t="s">
        <v>14</v>
      </c>
      <c r="Z29" t="s">
        <v>14</v>
      </c>
    </row>
    <row r="30" spans="1:26" x14ac:dyDescent="0.25">
      <c r="A30" t="s">
        <v>8</v>
      </c>
      <c r="C30">
        <v>8</v>
      </c>
      <c r="H30" t="s">
        <v>13</v>
      </c>
      <c r="I30" t="s">
        <v>16</v>
      </c>
      <c r="J30" t="s">
        <v>17</v>
      </c>
      <c r="K30" t="s">
        <v>18</v>
      </c>
      <c r="L30" t="s">
        <v>19</v>
      </c>
      <c r="M30" t="s">
        <v>20</v>
      </c>
      <c r="N30" t="s">
        <v>21</v>
      </c>
      <c r="O30" t="s">
        <v>22</v>
      </c>
      <c r="P30" t="s">
        <v>23</v>
      </c>
      <c r="Q30" t="s">
        <v>24</v>
      </c>
      <c r="R30" t="s">
        <v>16</v>
      </c>
      <c r="S30" t="s">
        <v>17</v>
      </c>
      <c r="T30" t="s">
        <v>18</v>
      </c>
      <c r="U30" t="s">
        <v>19</v>
      </c>
      <c r="V30" t="s">
        <v>20</v>
      </c>
      <c r="W30" t="s">
        <v>21</v>
      </c>
      <c r="X30" t="s">
        <v>22</v>
      </c>
      <c r="Y30" t="s">
        <v>23</v>
      </c>
      <c r="Z30" t="s">
        <v>24</v>
      </c>
    </row>
    <row r="31" spans="1:26" x14ac:dyDescent="0.25">
      <c r="H31" t="s">
        <v>25</v>
      </c>
      <c r="I31" s="1">
        <v>26390854</v>
      </c>
      <c r="J31" s="1">
        <v>24083106</v>
      </c>
      <c r="K31" s="1">
        <v>22956278</v>
      </c>
      <c r="L31" s="1">
        <v>24239938</v>
      </c>
      <c r="M31" s="1">
        <v>22088918</v>
      </c>
      <c r="N31" s="1">
        <v>20950048</v>
      </c>
      <c r="O31" s="1">
        <v>23595338</v>
      </c>
      <c r="P31" s="1">
        <v>21525706</v>
      </c>
      <c r="Q31" s="1">
        <v>20447394</v>
      </c>
      <c r="R31">
        <f>I31/I38</f>
        <v>1</v>
      </c>
      <c r="S31">
        <f t="shared" ref="S31:X31" si="0">J31/J38</f>
        <v>0.91255500864049344</v>
      </c>
      <c r="T31">
        <f t="shared" si="0"/>
        <v>0.8698573376973705</v>
      </c>
      <c r="U31">
        <f t="shared" si="0"/>
        <v>0.91849767347430289</v>
      </c>
      <c r="V31">
        <f t="shared" si="0"/>
        <v>0.83699140618943213</v>
      </c>
      <c r="W31">
        <f t="shared" si="0"/>
        <v>0.79383744080430285</v>
      </c>
      <c r="X31">
        <f t="shared" si="0"/>
        <v>0.89407254498092403</v>
      </c>
      <c r="Y31">
        <f>P31/P38</f>
        <v>0.81565022488472716</v>
      </c>
      <c r="Z31">
        <f t="shared" ref="Z31" si="1">Q31/Q38</f>
        <v>0.7747909180960949</v>
      </c>
    </row>
    <row r="32" spans="1:26" x14ac:dyDescent="0.25">
      <c r="H32" t="s">
        <v>12</v>
      </c>
      <c r="I32" t="s">
        <v>10</v>
      </c>
      <c r="J32" t="s">
        <v>10</v>
      </c>
      <c r="K32" t="s">
        <v>10</v>
      </c>
      <c r="L32" t="s">
        <v>10</v>
      </c>
      <c r="M32" t="s">
        <v>10</v>
      </c>
      <c r="N32" t="s">
        <v>10</v>
      </c>
      <c r="O32" t="s">
        <v>10</v>
      </c>
      <c r="P32" t="s">
        <v>10</v>
      </c>
      <c r="Q32" t="s">
        <v>10</v>
      </c>
      <c r="R32" t="s">
        <v>10</v>
      </c>
      <c r="S32" t="s">
        <v>10</v>
      </c>
      <c r="T32" t="s">
        <v>10</v>
      </c>
      <c r="U32" t="s">
        <v>10</v>
      </c>
      <c r="V32" t="s">
        <v>10</v>
      </c>
      <c r="W32" t="s">
        <v>10</v>
      </c>
      <c r="X32" t="s">
        <v>10</v>
      </c>
      <c r="Y32" t="s">
        <v>10</v>
      </c>
      <c r="Z32" t="s">
        <v>10</v>
      </c>
    </row>
    <row r="33" spans="8:26" x14ac:dyDescent="0.25">
      <c r="H33" t="s">
        <v>13</v>
      </c>
      <c r="I33" t="s">
        <v>16</v>
      </c>
      <c r="J33" t="s">
        <v>17</v>
      </c>
      <c r="K33" t="s">
        <v>18</v>
      </c>
      <c r="L33" t="s">
        <v>19</v>
      </c>
      <c r="M33" t="s">
        <v>20</v>
      </c>
      <c r="N33" t="s">
        <v>21</v>
      </c>
      <c r="O33" t="s">
        <v>22</v>
      </c>
      <c r="P33" t="s">
        <v>23</v>
      </c>
      <c r="Q33" t="s">
        <v>24</v>
      </c>
      <c r="R33" t="s">
        <v>16</v>
      </c>
      <c r="S33" t="s">
        <v>17</v>
      </c>
      <c r="T33" t="s">
        <v>18</v>
      </c>
      <c r="U33" t="s">
        <v>19</v>
      </c>
      <c r="V33" t="s">
        <v>20</v>
      </c>
      <c r="W33" t="s">
        <v>21</v>
      </c>
      <c r="X33" t="s">
        <v>22</v>
      </c>
      <c r="Y33" t="s">
        <v>23</v>
      </c>
      <c r="Z33" t="s">
        <v>24</v>
      </c>
    </row>
    <row r="34" spans="8:26" x14ac:dyDescent="0.25">
      <c r="H34" t="s">
        <v>25</v>
      </c>
      <c r="I34">
        <v>23055810</v>
      </c>
      <c r="J34">
        <v>21446598</v>
      </c>
      <c r="K34">
        <v>20562120</v>
      </c>
      <c r="L34">
        <v>21043730</v>
      </c>
      <c r="M34">
        <v>20012074</v>
      </c>
      <c r="N34">
        <v>19463462</v>
      </c>
      <c r="O34">
        <v>20691020</v>
      </c>
      <c r="P34">
        <v>19807752</v>
      </c>
      <c r="Q34">
        <v>19299460</v>
      </c>
      <c r="R34">
        <f>I34/I38</f>
        <v>0.87362879579417929</v>
      </c>
      <c r="S34">
        <f t="shared" ref="S34:Z34" si="2">J34/J38</f>
        <v>0.81265267126255181</v>
      </c>
      <c r="T34">
        <f t="shared" si="2"/>
        <v>0.77913810595140276</v>
      </c>
      <c r="U34">
        <f t="shared" si="2"/>
        <v>0.79738723119759591</v>
      </c>
      <c r="V34">
        <f t="shared" si="2"/>
        <v>0.75829580960131115</v>
      </c>
      <c r="W34">
        <f t="shared" si="2"/>
        <v>0.73750785025751719</v>
      </c>
      <c r="X34">
        <f t="shared" si="2"/>
        <v>0.78402237381177586</v>
      </c>
      <c r="Y34">
        <f t="shared" si="2"/>
        <v>0.75055365771793514</v>
      </c>
      <c r="Z34">
        <f t="shared" si="2"/>
        <v>0.73129350039221919</v>
      </c>
    </row>
    <row r="35" spans="8:26" x14ac:dyDescent="0.25">
      <c r="H35" t="s">
        <v>12</v>
      </c>
      <c r="I35" t="s">
        <v>11</v>
      </c>
      <c r="J35" t="s">
        <v>11</v>
      </c>
      <c r="K35" t="s">
        <v>11</v>
      </c>
      <c r="L35" t="s">
        <v>11</v>
      </c>
      <c r="M35" t="s">
        <v>11</v>
      </c>
      <c r="N35" t="s">
        <v>11</v>
      </c>
      <c r="O35" t="s">
        <v>11</v>
      </c>
      <c r="P35" t="s">
        <v>11</v>
      </c>
      <c r="Q35" t="s">
        <v>11</v>
      </c>
      <c r="R35" t="s">
        <v>11</v>
      </c>
      <c r="S35" t="s">
        <v>11</v>
      </c>
      <c r="T35" t="s">
        <v>11</v>
      </c>
      <c r="U35" t="s">
        <v>11</v>
      </c>
      <c r="V35" t="s">
        <v>11</v>
      </c>
      <c r="W35" t="s">
        <v>11</v>
      </c>
      <c r="X35" t="s">
        <v>11</v>
      </c>
      <c r="Y35" t="s">
        <v>11</v>
      </c>
      <c r="Z35" t="s">
        <v>11</v>
      </c>
    </row>
    <row r="36" spans="8:26" x14ac:dyDescent="0.25">
      <c r="H36" t="s">
        <v>13</v>
      </c>
      <c r="I36" t="s">
        <v>16</v>
      </c>
      <c r="J36" t="s">
        <v>17</v>
      </c>
      <c r="K36" t="s">
        <v>18</v>
      </c>
      <c r="L36" t="s">
        <v>19</v>
      </c>
      <c r="M36" t="s">
        <v>20</v>
      </c>
      <c r="N36" t="s">
        <v>21</v>
      </c>
      <c r="O36" t="s">
        <v>22</v>
      </c>
      <c r="P36" t="s">
        <v>23</v>
      </c>
      <c r="Q36" t="s">
        <v>24</v>
      </c>
      <c r="R36" t="s">
        <v>16</v>
      </c>
      <c r="S36" t="s">
        <v>17</v>
      </c>
      <c r="T36" t="s">
        <v>18</v>
      </c>
      <c r="U36" t="s">
        <v>19</v>
      </c>
      <c r="V36" t="s">
        <v>20</v>
      </c>
      <c r="W36" t="s">
        <v>21</v>
      </c>
      <c r="X36" t="s">
        <v>22</v>
      </c>
      <c r="Y36" t="s">
        <v>23</v>
      </c>
      <c r="Z36" t="s">
        <v>24</v>
      </c>
    </row>
    <row r="37" spans="8:26" x14ac:dyDescent="0.25">
      <c r="H37" t="s">
        <v>25</v>
      </c>
      <c r="I37">
        <v>21483620</v>
      </c>
      <c r="J37">
        <v>20204804</v>
      </c>
      <c r="K37">
        <v>19520098</v>
      </c>
      <c r="L37">
        <v>20219986</v>
      </c>
      <c r="M37">
        <v>19462478</v>
      </c>
      <c r="N37">
        <v>19063072</v>
      </c>
      <c r="O37">
        <v>20150298</v>
      </c>
      <c r="P37">
        <v>19407020</v>
      </c>
      <c r="Q37">
        <v>19021796</v>
      </c>
      <c r="R37">
        <f>I37/I38</f>
        <v>0.81405550574452801</v>
      </c>
      <c r="S37">
        <f t="shared" ref="S37:Z37" si="3">J37/J38</f>
        <v>0.76559871840448968</v>
      </c>
      <c r="T37">
        <f t="shared" si="3"/>
        <v>0.73965389676287097</v>
      </c>
      <c r="U37">
        <f t="shared" si="3"/>
        <v>0.76617399346000703</v>
      </c>
      <c r="V37">
        <f t="shared" si="3"/>
        <v>0.7374705646130284</v>
      </c>
      <c r="W37">
        <f t="shared" si="3"/>
        <v>0.72233630635825574</v>
      </c>
      <c r="X37">
        <f t="shared" si="3"/>
        <v>0.76353338167836482</v>
      </c>
      <c r="Y37">
        <f t="shared" si="3"/>
        <v>0.73536915478369891</v>
      </c>
      <c r="Z37">
        <f t="shared" si="3"/>
        <v>0.72077227966931268</v>
      </c>
    </row>
    <row r="38" spans="8:26" x14ac:dyDescent="0.25">
      <c r="H38" t="s">
        <v>26</v>
      </c>
      <c r="I38">
        <v>26390854</v>
      </c>
      <c r="J38">
        <v>26390854</v>
      </c>
      <c r="K38">
        <v>26390854</v>
      </c>
      <c r="L38">
        <v>26390854</v>
      </c>
      <c r="M38">
        <v>26390854</v>
      </c>
      <c r="N38">
        <v>26390854</v>
      </c>
      <c r="O38">
        <v>26390854</v>
      </c>
      <c r="P38">
        <v>26390854</v>
      </c>
      <c r="Q38">
        <v>26390854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Benny Tsai</dc:creator>
  <cp:lastModifiedBy>Benny Tsai</cp:lastModifiedBy>
  <dcterms:created xsi:type="dcterms:W3CDTF">2024-01-10T19:56:18Z</dcterms:created>
  <dcterms:modified xsi:type="dcterms:W3CDTF">2024-01-11T13:33:03Z</dcterms:modified>
</cp:coreProperties>
</file>